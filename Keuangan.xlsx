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B:\Workspace\Keuangan\simple-money-tracker\"/>
    </mc:Choice>
  </mc:AlternateContent>
  <xr:revisionPtr revIDLastSave="0" documentId="13_ncr:1_{9AA3FDA7-7903-4A59-881C-00A77C71693A}" xr6:coauthVersionLast="47" xr6:coauthVersionMax="47" xr10:uidLastSave="{00000000-0000-0000-0000-000000000000}"/>
  <bookViews>
    <workbookView xWindow="-98" yWindow="-98" windowWidth="21795" windowHeight="12975" activeTab="1" xr2:uid="{7AC67BAC-9263-4347-9DFA-623491861A30}"/>
  </bookViews>
  <sheets>
    <sheet name="Money_tracker" sheetId="2" r:id="rId1"/>
    <sheet name="Rasio" sheetId="1" r:id="rId2"/>
    <sheet name="List" sheetId="3" r:id="rId3"/>
  </sheets>
  <definedNames>
    <definedName name="Income_List">List!$I$1:$I$10</definedName>
    <definedName name="Outcome_List">List!$G$1:$G$12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E7" i="1"/>
  <c r="B3" i="1"/>
  <c r="B4" i="1"/>
  <c r="B5" i="1"/>
  <c r="B6" i="1"/>
  <c r="H7" i="2"/>
  <c r="H11" i="2"/>
  <c r="H18" i="2"/>
  <c r="H20" i="2"/>
  <c r="K16" i="2"/>
  <c r="K17" i="2" s="1"/>
  <c r="K20" i="2" s="1"/>
  <c r="K4" i="2"/>
  <c r="N4" i="2"/>
  <c r="O4" i="2"/>
  <c r="C17" i="1"/>
  <c r="B19" i="1"/>
  <c r="B7" i="1" l="1"/>
  <c r="L4" i="2"/>
  <c r="B13" i="1"/>
  <c r="G3" i="1" l="1"/>
</calcChain>
</file>

<file path=xl/sharedStrings.xml><?xml version="1.0" encoding="utf-8"?>
<sst xmlns="http://schemas.openxmlformats.org/spreadsheetml/2006/main" count="185" uniqueCount="68">
  <si>
    <t>Item</t>
  </si>
  <si>
    <t>Presentase</t>
  </si>
  <si>
    <t>Jenius</t>
  </si>
  <si>
    <t>Saham</t>
  </si>
  <si>
    <t>Emas</t>
  </si>
  <si>
    <t>Date</t>
  </si>
  <si>
    <t>No</t>
  </si>
  <si>
    <t>Metode Pembayaran</t>
  </si>
  <si>
    <t>Metode</t>
  </si>
  <si>
    <t>Shopeepay</t>
  </si>
  <si>
    <t>Gopay</t>
  </si>
  <si>
    <t>Seabank</t>
  </si>
  <si>
    <t>BCA</t>
  </si>
  <si>
    <t>Mandiri</t>
  </si>
  <si>
    <t>Cash</t>
  </si>
  <si>
    <t>BCA Vallas</t>
  </si>
  <si>
    <t>Keterangan</t>
  </si>
  <si>
    <t>Potong rambut</t>
  </si>
  <si>
    <t>Jenis</t>
  </si>
  <si>
    <t>Income</t>
  </si>
  <si>
    <t>Outcome</t>
  </si>
  <si>
    <t>Mata uang</t>
  </si>
  <si>
    <t>Mata Uang</t>
  </si>
  <si>
    <t>IDR</t>
  </si>
  <si>
    <t>USD</t>
  </si>
  <si>
    <t>Jumlah</t>
  </si>
  <si>
    <t>Kategori</t>
  </si>
  <si>
    <t>Makan</t>
  </si>
  <si>
    <t>Minuman</t>
  </si>
  <si>
    <t>Fashion</t>
  </si>
  <si>
    <t>Investasi</t>
  </si>
  <si>
    <t>Sedekah</t>
  </si>
  <si>
    <t>Transportasi</t>
  </si>
  <si>
    <t>Kesehatan</t>
  </si>
  <si>
    <t>Roti dan susu</t>
  </si>
  <si>
    <t>Gaji</t>
  </si>
  <si>
    <t>Bonus</t>
  </si>
  <si>
    <t>Outcome List</t>
  </si>
  <si>
    <t>Income List</t>
  </si>
  <si>
    <t>Uang makan</t>
  </si>
  <si>
    <t>Gaji, bonus</t>
  </si>
  <si>
    <t>Sisa</t>
  </si>
  <si>
    <t>Sisa saldo</t>
  </si>
  <si>
    <t>Other</t>
  </si>
  <si>
    <t>Grand Total</t>
  </si>
  <si>
    <t>Konversi USD</t>
  </si>
  <si>
    <t>Ibu</t>
  </si>
  <si>
    <t>Rokok</t>
  </si>
  <si>
    <t>Coil vape</t>
  </si>
  <si>
    <t>Tumbler</t>
  </si>
  <si>
    <t>Asuransi</t>
  </si>
  <si>
    <t>Total Pengeluaran</t>
  </si>
  <si>
    <t>Gold</t>
  </si>
  <si>
    <t>Total</t>
  </si>
  <si>
    <t>Quantity</t>
  </si>
  <si>
    <t>IDR ASSETS</t>
  </si>
  <si>
    <t>INVESTMENT ASSETS</t>
  </si>
  <si>
    <t>USD ASSETS</t>
  </si>
  <si>
    <t>RATE</t>
  </si>
  <si>
    <t>KURS</t>
  </si>
  <si>
    <t>GOLD</t>
  </si>
  <si>
    <t>Tahu susu</t>
  </si>
  <si>
    <t>Total Assets</t>
  </si>
  <si>
    <t>Total Pemasukan</t>
  </si>
  <si>
    <t>Transfer</t>
  </si>
  <si>
    <t>TRANSACTIONS TABLE</t>
  </si>
  <si>
    <t>Pindah</t>
  </si>
  <si>
    <t>Balancing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</si>
</sst>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IDR]\ #,##0.00"/>
    <numFmt numFmtId="165" formatCode="[$USD]\ #,##0.00"/>
    <numFmt numFmtId="166" formatCode="yyyy\-mm\-dd;@"/>
    <numFmt numFmtId="167" formatCode="0\ &quot;gram&quot;"/>
    <numFmt numFmtId="168" formatCode="[$-409]mmmm\ d\,\ yy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1" xfId="0" applyNumberFormat="1" applyFont="1" applyBorder="1"/>
    <xf numFmtId="165" fontId="3" fillId="0" borderId="1" xfId="0" applyNumberFormat="1" applyFont="1" applyBorder="1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6" fillId="4" borderId="1" xfId="0" applyFont="1" applyFill="1" applyBorder="1"/>
    <xf numFmtId="0" fontId="5" fillId="0" borderId="0" xfId="0" applyFont="1"/>
    <xf numFmtId="0" fontId="1" fillId="3" borderId="12" xfId="0" applyFont="1" applyFill="1" applyBorder="1" applyAlignment="1">
      <alignment horizontal="center"/>
    </xf>
    <xf numFmtId="0" fontId="2" fillId="0" borderId="13" xfId="0" applyFont="1" applyBorder="1"/>
    <xf numFmtId="164" fontId="4" fillId="4" borderId="7" xfId="0" applyNumberFormat="1" applyFont="1" applyFill="1" applyBorder="1" applyAlignment="1">
      <alignment horizontal="left" vertical="center"/>
    </xf>
    <xf numFmtId="165" fontId="4" fillId="4" borderId="8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/>
    <xf numFmtId="0" fontId="1" fillId="2" borderId="5" xfId="0" applyFont="1" applyFill="1" applyBorder="1"/>
    <xf numFmtId="0" fontId="1" fillId="2" borderId="16" xfId="0" applyFont="1" applyFill="1" applyBorder="1"/>
    <xf numFmtId="0" fontId="4" fillId="0" borderId="6" xfId="0" applyFont="1" applyBorder="1"/>
    <xf numFmtId="10" fontId="3" fillId="0" borderId="7" xfId="0" applyNumberFormat="1" applyFont="1" applyBorder="1"/>
    <xf numFmtId="164" fontId="3" fillId="0" borderId="17" xfId="0" applyNumberFormat="1" applyFont="1" applyBorder="1" applyAlignment="1">
      <alignment horizontal="left"/>
    </xf>
    <xf numFmtId="165" fontId="3" fillId="0" borderId="17" xfId="0" applyNumberFormat="1" applyFont="1" applyBorder="1" applyAlignment="1">
      <alignment horizontal="left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166" fontId="2" fillId="0" borderId="0" xfId="0" applyNumberFormat="1" applyFont="1"/>
    <xf numFmtId="0" fontId="7" fillId="0" borderId="0" xfId="0" applyFont="1"/>
    <xf numFmtId="0" fontId="7" fillId="0" borderId="18" xfId="0" applyFont="1" applyBorder="1"/>
    <xf numFmtId="165" fontId="7" fillId="0" borderId="19" xfId="0" applyNumberFormat="1" applyFont="1" applyBorder="1" applyAlignment="1">
      <alignment horizontal="left"/>
    </xf>
    <xf numFmtId="10" fontId="3" fillId="0" borderId="8" xfId="0" applyNumberFormat="1" applyFont="1" applyBorder="1"/>
    <xf numFmtId="164" fontId="7" fillId="0" borderId="19" xfId="0" applyNumberFormat="1" applyFont="1" applyBorder="1" applyAlignment="1">
      <alignment horizontal="left"/>
    </xf>
    <xf numFmtId="10" fontId="7" fillId="0" borderId="8" xfId="0" applyNumberFormat="1" applyFont="1" applyBorder="1"/>
    <xf numFmtId="0" fontId="1" fillId="5" borderId="3" xfId="0" applyFont="1" applyFill="1" applyBorder="1"/>
    <xf numFmtId="0" fontId="1" fillId="5" borderId="5" xfId="0" applyFont="1" applyFill="1" applyBorder="1"/>
    <xf numFmtId="0" fontId="1" fillId="6" borderId="3" xfId="0" applyFont="1" applyFill="1" applyBorder="1"/>
    <xf numFmtId="0" fontId="1" fillId="6" borderId="16" xfId="0" applyFont="1" applyFill="1" applyBorder="1"/>
    <xf numFmtId="0" fontId="1" fillId="6" borderId="5" xfId="0" applyFont="1" applyFill="1" applyBorder="1"/>
    <xf numFmtId="0" fontId="4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1" fillId="5" borderId="4" xfId="0" applyFont="1" applyFill="1" applyBorder="1"/>
    <xf numFmtId="0" fontId="2" fillId="0" borderId="8" xfId="0" applyFont="1" applyBorder="1"/>
    <xf numFmtId="167" fontId="3" fillId="0" borderId="1" xfId="0" applyNumberFormat="1" applyFont="1" applyBorder="1" applyAlignment="1">
      <alignment horizontal="left"/>
    </xf>
    <xf numFmtId="168" fontId="2" fillId="0" borderId="1" xfId="0" applyNumberFormat="1" applyFont="1" applyBorder="1"/>
    <xf numFmtId="0" fontId="4" fillId="7" borderId="4" xfId="0" applyFont="1" applyFill="1" applyBorder="1"/>
    <xf numFmtId="0" fontId="4" fillId="7" borderId="1" xfId="0" applyFont="1" applyFill="1" applyBorder="1"/>
    <xf numFmtId="164" fontId="4" fillId="8" borderId="5" xfId="0" applyNumberFormat="1" applyFont="1" applyFill="1" applyBorder="1" applyAlignment="1">
      <alignment horizontal="left" vertical="center"/>
    </xf>
    <xf numFmtId="164" fontId="4" fillId="8" borderId="7" xfId="0" applyNumberFormat="1" applyFont="1" applyFill="1" applyBorder="1" applyAlignment="1">
      <alignment horizontal="left" vertical="center"/>
    </xf>
    <xf numFmtId="164" fontId="4" fillId="8" borderId="8" xfId="0" applyNumberFormat="1" applyFont="1" applyFill="1" applyBorder="1" applyAlignment="1">
      <alignment horizontal="left" vertical="center"/>
    </xf>
    <xf numFmtId="0" fontId="2" fillId="8" borderId="1" xfId="0" applyFont="1" applyFill="1" applyBorder="1"/>
    <xf numFmtId="0" fontId="2" fillId="9" borderId="1" xfId="0" applyFont="1" applyFill="1" applyBorder="1"/>
    <xf numFmtId="0" fontId="6" fillId="0" borderId="1" xfId="0" applyFont="1" applyBorder="1"/>
    <xf numFmtId="0" fontId="8" fillId="0" borderId="1" xfId="0" applyFont="1" applyBorder="1"/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64" fontId="3" fillId="0" borderId="24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2" fillId="0" borderId="1" xfId="0" applyNumberFormat="1" applyFont="1" applyBorder="1"/>
  </cellXfs>
  <cellStyles count="1">
    <cellStyle name="Normal" xfId="0" builtinId="0"/>
  </cellStyles>
  <dxfs count="12">
    <dxf>
      <numFmt numFmtId="11" formatCode="&quot;$&quot;#,##0.00_);\(&quot;$&quot;#,##0.00\)"/>
    </dxf>
    <dxf>
      <numFmt numFmtId="169" formatCode="[$IDR]\ #,##0_);[Red]\([$IDR]\ #,##0\)"/>
    </dxf>
    <dxf>
      <numFmt numFmtId="11" formatCode="&quot;$&quot;#,##0.00_);\(&quot;$&quot;#,##0.00\)"/>
    </dxf>
    <dxf>
      <numFmt numFmtId="169" formatCode="[$IDR]\ #,##0_);[Red]\([$IDR]\ #,##0\)"/>
    </dxf>
    <dxf>
      <numFmt numFmtId="11" formatCode="&quot;$&quot;#,##0.00_);\(&quot;$&quot;#,##0.00\)"/>
    </dxf>
    <dxf>
      <numFmt numFmtId="169" formatCode="[$IDR]\ #,##0_);[Red]\([$IDR]\ #,##0\)"/>
    </dxf>
    <dxf>
      <numFmt numFmtId="11" formatCode="&quot;$&quot;#,##0.00_);\(&quot;$&quot;#,##0.00\)"/>
    </dxf>
    <dxf>
      <numFmt numFmtId="169" formatCode="[$IDR]\ #,##0_);[Red]\([$IDR]\ #,##0\)"/>
    </dxf>
    <dxf>
      <numFmt numFmtId="8" formatCode="#,##0.00_);[Red]\(#,##0.00\)"/>
    </dxf>
    <dxf>
      <font>
        <color theme="9"/>
      </font>
      <fill>
        <patternFill>
          <bgColor theme="0"/>
        </patternFill>
      </fill>
    </dxf>
    <dxf>
      <font>
        <color rgb="FFFF0000"/>
      </font>
    </dxf>
    <dxf>
      <font>
        <color theme="3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C0C3-0826-4469-B15C-70944F362B10}">
  <dimension ref="A1:O35"/>
  <sheetViews>
    <sheetView zoomScale="85" zoomScaleNormal="85" workbookViewId="0">
      <selection activeCell="G24" sqref="G24"/>
    </sheetView>
  </sheetViews>
  <sheetFormatPr defaultRowHeight="15" x14ac:dyDescent="0.25"/>
  <cols>
    <col min="1" max="1" width="9.140625" style="28"/>
    <col min="2" max="2" width="15.85546875" style="29" bestFit="1" customWidth="1"/>
    <col min="3" max="3" width="15.140625" style="1" bestFit="1" customWidth="1"/>
    <col min="4" max="4" width="20.5703125" style="19" bestFit="1" customWidth="1"/>
    <col min="5" max="5" width="20.5703125" style="19" customWidth="1"/>
    <col min="6" max="6" width="10.85546875" style="1" bestFit="1" customWidth="1"/>
    <col min="7" max="7" width="13.42578125" style="1" bestFit="1" customWidth="1"/>
    <col min="8" max="8" width="20.28515625" style="1" bestFit="1" customWidth="1"/>
    <col min="9" max="10" width="9.140625" style="1"/>
    <col min="11" max="11" width="14.140625" style="1" bestFit="1" customWidth="1"/>
    <col min="12" max="12" width="14.85546875" style="1" bestFit="1" customWidth="1"/>
    <col min="13" max="13" width="9.140625" style="1"/>
    <col min="14" max="14" width="14.140625" style="1" bestFit="1" customWidth="1"/>
    <col min="15" max="15" width="14.85546875" style="1" bestFit="1" customWidth="1"/>
    <col min="16" max="16384" width="9.140625" style="1"/>
  </cols>
  <sheetData>
    <row r="1" spans="1:15" ht="15.75" thickBot="1" x14ac:dyDescent="0.3">
      <c r="A1" s="58" t="s">
        <v>65</v>
      </c>
      <c r="B1" s="58"/>
    </row>
    <row r="2" spans="1:15" x14ac:dyDescent="0.25">
      <c r="A2" s="6" t="s">
        <v>6</v>
      </c>
      <c r="B2" s="4" t="s">
        <v>5</v>
      </c>
      <c r="C2" s="4" t="s">
        <v>18</v>
      </c>
      <c r="D2" s="4" t="s">
        <v>7</v>
      </c>
      <c r="E2" s="4" t="s">
        <v>26</v>
      </c>
      <c r="F2" s="4" t="s">
        <v>21</v>
      </c>
      <c r="G2" s="15" t="s">
        <v>16</v>
      </c>
      <c r="H2" s="5" t="s">
        <v>25</v>
      </c>
      <c r="K2" s="56" t="s">
        <v>51</v>
      </c>
      <c r="L2" s="56"/>
      <c r="N2" s="57" t="s">
        <v>63</v>
      </c>
      <c r="O2" s="57"/>
    </row>
    <row r="3" spans="1:15" x14ac:dyDescent="0.25">
      <c r="A3" s="7">
        <v>1</v>
      </c>
      <c r="B3" s="46">
        <v>46055</v>
      </c>
      <c r="C3" s="2" t="s">
        <v>20</v>
      </c>
      <c r="D3" s="3" t="s">
        <v>11</v>
      </c>
      <c r="E3" s="3" t="s">
        <v>29</v>
      </c>
      <c r="F3" s="2" t="s">
        <v>23</v>
      </c>
      <c r="G3" s="16" t="s">
        <v>17</v>
      </c>
      <c r="H3" s="27">
        <v>40000</v>
      </c>
      <c r="K3" s="52" t="s">
        <v>24</v>
      </c>
      <c r="L3" s="52" t="s">
        <v>23</v>
      </c>
      <c r="N3" s="53" t="s">
        <v>24</v>
      </c>
      <c r="O3" s="53" t="s">
        <v>23</v>
      </c>
    </row>
    <row r="4" spans="1:15" x14ac:dyDescent="0.25">
      <c r="A4" s="7">
        <v>2</v>
      </c>
      <c r="B4" s="46"/>
      <c r="C4" s="2" t="s">
        <v>20</v>
      </c>
      <c r="D4" s="3" t="s">
        <v>11</v>
      </c>
      <c r="E4" s="3" t="s">
        <v>27</v>
      </c>
      <c r="F4" s="2" t="s">
        <v>23</v>
      </c>
      <c r="G4" s="16" t="s">
        <v>34</v>
      </c>
      <c r="H4" s="27">
        <v>42900</v>
      </c>
      <c r="K4" s="80">
        <f>SUMIFS($H$2:$H$1000,$C$2:$C$1000,"Outcome",$F$2:$F$1000,"USD")
 -SUMIFS($H$2:$H$1000,$C$2:$C$1000,"Outcome",$F$2:$F$1000,"USD",$G$2:$G$1000,"*Konversi*")
 -SUMIFS($H$2:$H$1000,$C$2:$C$1000,"Outcome",$F$2:$F$1000,"USD",$E$2:$E$1000,"Pindah uang")
 -SUMIFS($H$2:$H$1000,$C$2:$C$1000,"Outcome",$F$2:$F$1000,"USD",$E$2:$E$1000,"Investasi")</f>
        <v>357</v>
      </c>
      <c r="L4" s="80">
        <f>SUMIFS($H$2:$H$1000,$C$2:$C$1000,"Outcome",$F$2:$F$1000,"IDR")
 -SUMIFS($H$2:$H$1000,$C$2:$C$1000,"Outcome",$F$2:$F$1000,"IDR",$G$2:$G$1000,"*Konversi*")
 -SUMIFS($H$2:$H$1000,$C$2:$C$1000,"Outcome",$F$2:$F$1000,"IDR",$E$2:$E$1000,"Pindah uang")
 -SUMIFS($H$2:$H$1000,$C$2:$C$1000,"Outcome",$F$2:$F$1000,"IDR",$E$2:$E$1000,"Investasi")</f>
        <v>3426670</v>
      </c>
      <c r="N4" s="2">
        <f>SUMIFS($H$2:$H$1000,$C$2:$C$1000,"Income",$F$2:$F$1000,"USD",$E$2:$E$1000,"&lt;&gt;Sisa")
 -SUMIFS($H$2:$H$1000,$C$2:$C$1000,"Income",$F$2:$F$1000,"USD",$G$2:$G$1000,"*Konversi*")
 -SUMIFS($H$2:$H$1000,$C$2:$C$1000,"Income",$F$2:$F$1000,"USD",$E$2:$E$1000,"Pindah uang")</f>
        <v>912</v>
      </c>
      <c r="O4" s="2">
        <f>SUMIFS($H$2:$H$1000,$C$2:$C$1000,"Income",$F$2:$F$1000,"IDR",$E$2:$E$1000,"&lt;&gt;Sisa")
 -SUMIFS($H$2:$H$1000,$C$2:$C$1000,"Income",$F$2:$F$1000,"IDR",$G$2:$G$1000,"*Konversi*")
 -SUMIFS($H$2:$H$1000,$C$2:$C$1000,"Income",$F$2:$F$1000,"IDR",$E$2:$E$1000,"Pindah uang")</f>
        <v>5055339</v>
      </c>
    </row>
    <row r="5" spans="1:15" x14ac:dyDescent="0.25">
      <c r="A5" s="7">
        <v>3</v>
      </c>
      <c r="B5" s="46">
        <v>46056</v>
      </c>
      <c r="C5" s="2" t="s">
        <v>19</v>
      </c>
      <c r="D5" s="3" t="s">
        <v>2</v>
      </c>
      <c r="E5" s="3" t="s">
        <v>35</v>
      </c>
      <c r="F5" s="2" t="s">
        <v>24</v>
      </c>
      <c r="G5" s="16" t="s">
        <v>40</v>
      </c>
      <c r="H5" s="27">
        <v>912</v>
      </c>
    </row>
    <row r="6" spans="1:15" x14ac:dyDescent="0.25">
      <c r="A6" s="7">
        <v>5</v>
      </c>
      <c r="B6" s="46"/>
      <c r="C6" s="2" t="s">
        <v>20</v>
      </c>
      <c r="D6" s="3" t="s">
        <v>2</v>
      </c>
      <c r="E6" s="3" t="s">
        <v>27</v>
      </c>
      <c r="F6" s="2" t="s">
        <v>24</v>
      </c>
      <c r="G6" s="16" t="s">
        <v>39</v>
      </c>
      <c r="H6" s="27">
        <v>57</v>
      </c>
    </row>
    <row r="7" spans="1:15" x14ac:dyDescent="0.25">
      <c r="A7" s="7">
        <v>6</v>
      </c>
      <c r="B7" s="46"/>
      <c r="C7" s="2" t="s">
        <v>42</v>
      </c>
      <c r="D7" s="3" t="s">
        <v>11</v>
      </c>
      <c r="E7" s="3" t="s">
        <v>42</v>
      </c>
      <c r="F7" s="2" t="s">
        <v>23</v>
      </c>
      <c r="G7" s="16" t="s">
        <v>42</v>
      </c>
      <c r="H7" s="27">
        <f>1594000+82900</f>
        <v>1676900</v>
      </c>
    </row>
    <row r="8" spans="1:15" x14ac:dyDescent="0.25">
      <c r="A8" s="7">
        <v>7</v>
      </c>
      <c r="B8" s="46"/>
      <c r="C8" s="2" t="s">
        <v>42</v>
      </c>
      <c r="D8" s="3" t="s">
        <v>12</v>
      </c>
      <c r="E8" s="3" t="s">
        <v>42</v>
      </c>
      <c r="F8" s="2" t="s">
        <v>23</v>
      </c>
      <c r="G8" s="16" t="s">
        <v>42</v>
      </c>
      <c r="H8" s="27">
        <v>192698</v>
      </c>
    </row>
    <row r="9" spans="1:15" x14ac:dyDescent="0.25">
      <c r="A9" s="7">
        <v>8</v>
      </c>
      <c r="B9" s="46"/>
      <c r="C9" s="2" t="s">
        <v>42</v>
      </c>
      <c r="D9" s="3" t="s">
        <v>2</v>
      </c>
      <c r="E9" s="3" t="s">
        <v>42</v>
      </c>
      <c r="F9" s="2" t="s">
        <v>24</v>
      </c>
      <c r="G9" s="16" t="s">
        <v>42</v>
      </c>
      <c r="H9" s="27">
        <v>150</v>
      </c>
    </row>
    <row r="10" spans="1:15" x14ac:dyDescent="0.25">
      <c r="A10" s="7">
        <v>9</v>
      </c>
      <c r="B10" s="46"/>
      <c r="C10" s="2" t="s">
        <v>42</v>
      </c>
      <c r="D10" s="3" t="s">
        <v>15</v>
      </c>
      <c r="E10" s="3" t="s">
        <v>42</v>
      </c>
      <c r="F10" s="2" t="s">
        <v>24</v>
      </c>
      <c r="G10" s="16" t="s">
        <v>42</v>
      </c>
      <c r="H10" s="27">
        <v>5</v>
      </c>
    </row>
    <row r="11" spans="1:15" x14ac:dyDescent="0.25">
      <c r="A11" s="7">
        <v>10</v>
      </c>
      <c r="B11" s="46"/>
      <c r="C11" s="2" t="s">
        <v>42</v>
      </c>
      <c r="D11" s="3" t="s">
        <v>30</v>
      </c>
      <c r="E11" s="3" t="s">
        <v>42</v>
      </c>
      <c r="F11" s="2" t="s">
        <v>23</v>
      </c>
      <c r="G11" s="16" t="s">
        <v>4</v>
      </c>
      <c r="H11" s="27">
        <f>3*Rasio!G2</f>
        <v>7980000</v>
      </c>
    </row>
    <row r="12" spans="1:15" x14ac:dyDescent="0.25">
      <c r="A12" s="7">
        <v>11</v>
      </c>
      <c r="B12" s="46"/>
      <c r="C12" s="2" t="s">
        <v>42</v>
      </c>
      <c r="D12" s="3" t="s">
        <v>30</v>
      </c>
      <c r="E12" s="3" t="s">
        <v>42</v>
      </c>
      <c r="F12" s="2" t="s">
        <v>23</v>
      </c>
      <c r="G12" s="16" t="s">
        <v>3</v>
      </c>
      <c r="H12" s="27">
        <v>2000000</v>
      </c>
    </row>
    <row r="13" spans="1:15" x14ac:dyDescent="0.25">
      <c r="A13" s="7">
        <v>12</v>
      </c>
      <c r="B13" s="46">
        <v>46057</v>
      </c>
      <c r="C13" s="2" t="s">
        <v>66</v>
      </c>
      <c r="D13" s="3" t="s">
        <v>2</v>
      </c>
      <c r="E13" s="3" t="s">
        <v>64</v>
      </c>
      <c r="F13" s="2" t="s">
        <v>24</v>
      </c>
      <c r="G13" s="16" t="s">
        <v>45</v>
      </c>
      <c r="H13" s="27">
        <v>300</v>
      </c>
    </row>
    <row r="14" spans="1:15" x14ac:dyDescent="0.25">
      <c r="A14" s="7">
        <v>13</v>
      </c>
      <c r="B14" s="46"/>
      <c r="C14" s="2" t="s">
        <v>66</v>
      </c>
      <c r="D14" s="3" t="s">
        <v>11</v>
      </c>
      <c r="E14" s="3" t="s">
        <v>64</v>
      </c>
      <c r="F14" s="2" t="s">
        <v>23</v>
      </c>
      <c r="G14" s="16" t="s">
        <v>45</v>
      </c>
      <c r="H14" s="27">
        <v>5022739</v>
      </c>
    </row>
    <row r="15" spans="1:15" x14ac:dyDescent="0.25">
      <c r="A15" s="7">
        <v>14</v>
      </c>
      <c r="B15" s="46"/>
      <c r="C15" s="2" t="s">
        <v>20</v>
      </c>
      <c r="D15" s="3" t="s">
        <v>11</v>
      </c>
      <c r="E15" s="3" t="s">
        <v>31</v>
      </c>
      <c r="F15" s="2" t="s">
        <v>23</v>
      </c>
      <c r="G15" s="16" t="s">
        <v>46</v>
      </c>
      <c r="H15" s="27">
        <v>2000000</v>
      </c>
    </row>
    <row r="16" spans="1:15" x14ac:dyDescent="0.25">
      <c r="A16" s="7">
        <v>15</v>
      </c>
      <c r="B16" s="46"/>
      <c r="C16" s="2" t="s">
        <v>20</v>
      </c>
      <c r="D16" s="3" t="s">
        <v>11</v>
      </c>
      <c r="E16" s="3" t="s">
        <v>47</v>
      </c>
      <c r="F16" s="2" t="s">
        <v>23</v>
      </c>
      <c r="G16" s="16" t="s">
        <v>48</v>
      </c>
      <c r="H16" s="27">
        <v>66000</v>
      </c>
      <c r="K16" s="80">
        <f>H7+H18+H14</f>
        <v>7754639</v>
      </c>
    </row>
    <row r="17" spans="1:11" x14ac:dyDescent="0.25">
      <c r="A17" s="7">
        <v>16</v>
      </c>
      <c r="B17" s="46"/>
      <c r="C17" s="2" t="s">
        <v>20</v>
      </c>
      <c r="D17" s="3" t="s">
        <v>11</v>
      </c>
      <c r="E17" s="3" t="s">
        <v>43</v>
      </c>
      <c r="F17" s="2" t="s">
        <v>23</v>
      </c>
      <c r="G17" s="16" t="s">
        <v>49</v>
      </c>
      <c r="H17" s="27">
        <v>212320</v>
      </c>
      <c r="K17" s="1">
        <f>K16-(H15+H3+H4+H16+H17+H21+H18)</f>
        <v>4306419</v>
      </c>
    </row>
    <row r="18" spans="1:11" x14ac:dyDescent="0.25">
      <c r="A18" s="7">
        <v>17</v>
      </c>
      <c r="B18" s="46"/>
      <c r="C18" s="2" t="s">
        <v>66</v>
      </c>
      <c r="D18" s="3" t="s">
        <v>11</v>
      </c>
      <c r="E18" s="3" t="s">
        <v>64</v>
      </c>
      <c r="F18" s="2" t="s">
        <v>23</v>
      </c>
      <c r="G18" s="16" t="s">
        <v>50</v>
      </c>
      <c r="H18" s="27">
        <f>705000+350000</f>
        <v>1055000</v>
      </c>
    </row>
    <row r="19" spans="1:11" x14ac:dyDescent="0.25">
      <c r="A19" s="7">
        <v>18</v>
      </c>
      <c r="B19" s="46"/>
      <c r="C19" s="2" t="s">
        <v>19</v>
      </c>
      <c r="D19" s="3" t="s">
        <v>13</v>
      </c>
      <c r="E19" s="3" t="s">
        <v>43</v>
      </c>
      <c r="F19" s="2" t="s">
        <v>23</v>
      </c>
      <c r="G19" s="16" t="s">
        <v>50</v>
      </c>
      <c r="H19" s="27">
        <v>1055000</v>
      </c>
    </row>
    <row r="20" spans="1:11" x14ac:dyDescent="0.25">
      <c r="A20" s="7">
        <v>19</v>
      </c>
      <c r="B20" s="46"/>
      <c r="C20" s="2" t="s">
        <v>20</v>
      </c>
      <c r="D20" s="3" t="s">
        <v>13</v>
      </c>
      <c r="E20" s="3" t="s">
        <v>33</v>
      </c>
      <c r="F20" s="2" t="s">
        <v>23</v>
      </c>
      <c r="G20" s="16" t="s">
        <v>50</v>
      </c>
      <c r="H20" s="27">
        <f>707200+326250</f>
        <v>1033450</v>
      </c>
      <c r="K20" s="1">
        <f>K17-3252019</f>
        <v>1054400</v>
      </c>
    </row>
    <row r="21" spans="1:11" x14ac:dyDescent="0.25">
      <c r="A21" s="7">
        <v>20</v>
      </c>
      <c r="B21" s="46">
        <v>46058</v>
      </c>
      <c r="C21" s="2" t="s">
        <v>20</v>
      </c>
      <c r="D21" s="3" t="s">
        <v>11</v>
      </c>
      <c r="E21" s="3" t="s">
        <v>27</v>
      </c>
      <c r="F21" s="2" t="s">
        <v>23</v>
      </c>
      <c r="G21" s="16" t="s">
        <v>61</v>
      </c>
      <c r="H21" s="27">
        <v>32000</v>
      </c>
    </row>
    <row r="22" spans="1:11" x14ac:dyDescent="0.25">
      <c r="A22" s="7">
        <v>21</v>
      </c>
      <c r="B22" s="46"/>
      <c r="C22" s="2" t="s">
        <v>19</v>
      </c>
      <c r="D22" s="3" t="s">
        <v>11</v>
      </c>
      <c r="E22" s="3" t="s">
        <v>43</v>
      </c>
      <c r="F22" s="2" t="s">
        <v>23</v>
      </c>
      <c r="G22" s="16" t="s">
        <v>67</v>
      </c>
      <c r="H22" s="27">
        <v>4000339</v>
      </c>
    </row>
    <row r="23" spans="1:11" x14ac:dyDescent="0.25">
      <c r="A23" s="7">
        <v>22</v>
      </c>
      <c r="B23" s="46"/>
      <c r="C23" s="2" t="s">
        <v>20</v>
      </c>
      <c r="D23" s="3" t="s">
        <v>2</v>
      </c>
      <c r="E23" s="3" t="s">
        <v>43</v>
      </c>
      <c r="F23" s="2" t="s">
        <v>24</v>
      </c>
      <c r="G23" s="16" t="s">
        <v>67</v>
      </c>
      <c r="H23" s="27">
        <v>300</v>
      </c>
    </row>
    <row r="24" spans="1:11" x14ac:dyDescent="0.25">
      <c r="A24" s="7">
        <v>23</v>
      </c>
      <c r="B24" s="46"/>
      <c r="C24" s="2"/>
      <c r="D24" s="3"/>
      <c r="E24" s="3"/>
      <c r="F24" s="2"/>
      <c r="G24" s="16"/>
      <c r="H24" s="27"/>
    </row>
    <row r="25" spans="1:11" x14ac:dyDescent="0.25">
      <c r="A25" s="7">
        <v>24</v>
      </c>
      <c r="B25" s="46"/>
      <c r="C25" s="2"/>
      <c r="D25" s="3"/>
      <c r="E25" s="3"/>
      <c r="F25" s="2"/>
      <c r="G25" s="16"/>
      <c r="H25" s="27"/>
    </row>
    <row r="26" spans="1:11" x14ac:dyDescent="0.25">
      <c r="A26" s="7">
        <v>25</v>
      </c>
      <c r="B26" s="46"/>
      <c r="C26" s="2"/>
      <c r="D26" s="3"/>
      <c r="E26" s="3"/>
      <c r="F26" s="2"/>
      <c r="G26" s="16"/>
      <c r="H26" s="27"/>
    </row>
    <row r="27" spans="1:11" x14ac:dyDescent="0.25">
      <c r="A27" s="7">
        <v>26</v>
      </c>
      <c r="B27" s="46"/>
      <c r="C27" s="2"/>
      <c r="D27" s="3"/>
      <c r="E27" s="3"/>
      <c r="F27" s="2"/>
      <c r="G27" s="16"/>
      <c r="H27" s="27"/>
    </row>
    <row r="28" spans="1:11" x14ac:dyDescent="0.25">
      <c r="A28" s="7">
        <v>27</v>
      </c>
      <c r="B28" s="46"/>
      <c r="C28" s="2"/>
      <c r="D28" s="3"/>
      <c r="E28" s="3"/>
      <c r="F28" s="2"/>
      <c r="G28" s="16"/>
      <c r="H28" s="27"/>
    </row>
    <row r="29" spans="1:11" x14ac:dyDescent="0.25">
      <c r="A29" s="7">
        <v>28</v>
      </c>
      <c r="B29" s="46"/>
      <c r="C29" s="2"/>
      <c r="D29" s="3"/>
      <c r="E29" s="3"/>
      <c r="F29" s="2"/>
      <c r="G29" s="16"/>
      <c r="H29" s="27"/>
    </row>
    <row r="30" spans="1:11" x14ac:dyDescent="0.25">
      <c r="A30" s="7">
        <v>29</v>
      </c>
      <c r="B30" s="46"/>
      <c r="C30" s="2"/>
      <c r="D30" s="3"/>
      <c r="E30" s="3"/>
      <c r="F30" s="2"/>
      <c r="G30" s="16"/>
      <c r="H30" s="27"/>
    </row>
    <row r="31" spans="1:11" x14ac:dyDescent="0.25">
      <c r="A31" s="7">
        <v>30</v>
      </c>
      <c r="B31" s="46"/>
      <c r="C31" s="2"/>
      <c r="D31" s="3"/>
      <c r="E31" s="3"/>
      <c r="F31" s="2"/>
      <c r="G31" s="16"/>
      <c r="H31" s="27"/>
    </row>
    <row r="32" spans="1:11" x14ac:dyDescent="0.25">
      <c r="A32" s="7">
        <v>31</v>
      </c>
      <c r="B32" s="46"/>
      <c r="C32" s="2"/>
      <c r="D32" s="3"/>
      <c r="E32" s="3"/>
      <c r="F32" s="2"/>
      <c r="G32" s="16"/>
      <c r="H32" s="27"/>
    </row>
    <row r="33" spans="1:8" ht="18.75" customHeight="1" x14ac:dyDescent="0.25">
      <c r="A33" s="7">
        <v>32</v>
      </c>
      <c r="B33" s="46"/>
      <c r="C33" s="2"/>
      <c r="D33" s="3"/>
      <c r="E33" s="3"/>
      <c r="F33" s="2"/>
      <c r="G33" s="16"/>
      <c r="H33" s="27"/>
    </row>
    <row r="34" spans="1:8" ht="16.5" customHeight="1" x14ac:dyDescent="0.25">
      <c r="A34" s="59" t="s">
        <v>25</v>
      </c>
      <c r="B34" s="60"/>
      <c r="C34" s="60"/>
      <c r="D34" s="60"/>
      <c r="E34" s="60"/>
      <c r="F34" s="60"/>
      <c r="G34" s="61"/>
      <c r="H34" s="17"/>
    </row>
    <row r="35" spans="1:8" ht="16.5" thickBot="1" x14ac:dyDescent="0.3">
      <c r="A35" s="62"/>
      <c r="B35" s="63"/>
      <c r="C35" s="63"/>
      <c r="D35" s="63"/>
      <c r="E35" s="63"/>
      <c r="F35" s="63"/>
      <c r="G35" s="64"/>
      <c r="H35" s="18"/>
    </row>
  </sheetData>
  <mergeCells count="4">
    <mergeCell ref="K2:L2"/>
    <mergeCell ref="N2:O2"/>
    <mergeCell ref="A1:B1"/>
    <mergeCell ref="A34:G35"/>
  </mergeCells>
  <conditionalFormatting sqref="C3:C33">
    <cfRule type="expression" dxfId="11" priority="3">
      <formula>$C3="Opening balance"</formula>
    </cfRule>
    <cfRule type="expression" dxfId="10" priority="19">
      <formula>$C3="Outcome"</formula>
    </cfRule>
    <cfRule type="expression" dxfId="9" priority="20">
      <formula>$C3="Income"</formula>
    </cfRule>
  </conditionalFormatting>
  <conditionalFormatting sqref="H2">
    <cfRule type="expression" dxfId="8" priority="25">
      <formula>"if=UPPER($E2)=""IDR"""</formula>
    </cfRule>
  </conditionalFormatting>
  <conditionalFormatting sqref="H3:H33 H35 H37:H1048576">
    <cfRule type="expression" dxfId="7" priority="23" stopIfTrue="1">
      <formula>UPPER($F3)="IDR"</formula>
    </cfRule>
    <cfRule type="expression" dxfId="6" priority="24" stopIfTrue="1">
      <formula>UPPER($F3)="USD"</formula>
    </cfRule>
  </conditionalFormatting>
  <conditionalFormatting sqref="K4:L4">
    <cfRule type="expression" dxfId="5" priority="5" stopIfTrue="1">
      <formula>UPPER($F3)="IDR"</formula>
    </cfRule>
    <cfRule type="expression" dxfId="4" priority="6" stopIfTrue="1">
      <formula>UPPER($F3)="USD"</formula>
    </cfRule>
  </conditionalFormatting>
  <conditionalFormatting sqref="N4:O4">
    <cfRule type="expression" dxfId="3" priority="7" stopIfTrue="1">
      <formula>UPPER($F3)="IDR"</formula>
    </cfRule>
    <cfRule type="expression" dxfId="2" priority="8" stopIfTrue="1">
      <formula>UPPER($F3)="USD"</formula>
    </cfRule>
  </conditionalFormatting>
  <conditionalFormatting sqref="K16">
    <cfRule type="expression" dxfId="1" priority="1" stopIfTrue="1">
      <formula>UPPER($F15)="IDR"</formula>
    </cfRule>
    <cfRule type="expression" dxfId="0" priority="2" stopIfTrue="1">
      <formula>UPPER($F15)="USD"</formula>
    </cfRule>
  </conditionalFormatting>
  <dataValidations count="1">
    <dataValidation type="list" allowBlank="1" showInputMessage="1" showErrorMessage="1" sqref="E3:E33" xr:uid="{28A9E238-65E1-4106-BC34-203BC1A59480}">
      <formula1>IF($C3="Income",Income_List,Outcome_List)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3EDA76-D717-4333-8408-65D13BEFFF34}">
          <x14:formula1>
            <xm:f>List!$C$2:$C$5</xm:f>
          </x14:formula1>
          <xm:sqref>C3:C33</xm:sqref>
        </x14:dataValidation>
        <x14:dataValidation type="list" allowBlank="1" showInputMessage="1" showErrorMessage="1" xr:uid="{F47D0788-3D60-4BA0-B194-7C1D7A858EE4}">
          <x14:formula1>
            <xm:f>List!$E$2:$E$3</xm:f>
          </x14:formula1>
          <xm:sqref>F3:F33</xm:sqref>
        </x14:dataValidation>
        <x14:dataValidation type="list" allowBlank="1" showInputMessage="1" showErrorMessage="1" xr:uid="{19130606-58C6-4292-A185-310BD0A66D3C}">
          <x14:formula1>
            <xm:f>List!$A$2:$A$11</xm:f>
          </x14:formula1>
          <xm:sqref>D3:D33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E4855-4FED-410A-A52F-1A5F17A7CDC0}">
  <dimension ref="A1:G20"/>
  <sheetViews>
    <sheetView tabSelected="1" zoomScale="115" zoomScaleNormal="115" workbookViewId="0">
      <selection activeCell="E8" sqref="E8"/>
    </sheetView>
  </sheetViews>
  <sheetFormatPr defaultColWidth="9" defaultRowHeight="15" x14ac:dyDescent="0.25"/>
  <cols>
    <col min="1" max="1" width="16" style="1" bestFit="1" customWidth="1"/>
    <col min="2" max="2" width="23.7109375" style="1" bestFit="1" customWidth="1"/>
    <col min="3" max="3" width="18.85546875" style="1" bestFit="1" customWidth="1"/>
    <col min="4" max="4" width="17.5703125" style="1" bestFit="1" customWidth="1"/>
    <col min="5" max="5" width="16.28515625" style="1" bestFit="1" customWidth="1"/>
    <col min="6" max="6" width="9" style="1"/>
    <col min="7" max="7" width="19.28515625" style="1" bestFit="1" customWidth="1"/>
    <col min="8" max="9" width="9" style="1"/>
    <col min="10" max="10" width="17.85546875" style="1" bestFit="1" customWidth="1"/>
    <col min="11" max="16384" width="9" style="1"/>
  </cols>
  <sheetData>
    <row r="1" spans="1:7" ht="16.5" thickBot="1" x14ac:dyDescent="0.3">
      <c r="A1" s="71" t="s">
        <v>55</v>
      </c>
      <c r="B1" s="72"/>
      <c r="C1" s="73"/>
      <c r="E1" s="76" t="s">
        <v>58</v>
      </c>
      <c r="F1" s="47" t="s">
        <v>59</v>
      </c>
      <c r="G1" s="49">
        <v>16650</v>
      </c>
    </row>
    <row r="2" spans="1:7" ht="15.75" x14ac:dyDescent="0.25">
      <c r="A2" s="20" t="s">
        <v>0</v>
      </c>
      <c r="B2" s="22" t="s">
        <v>23</v>
      </c>
      <c r="C2" s="21" t="s">
        <v>1</v>
      </c>
      <c r="E2" s="77"/>
      <c r="F2" s="48" t="s">
        <v>60</v>
      </c>
      <c r="G2" s="50">
        <v>2660000</v>
      </c>
    </row>
    <row r="3" spans="1:7" ht="16.5" thickBot="1" x14ac:dyDescent="0.3">
      <c r="A3" s="23" t="s">
        <v>12</v>
      </c>
      <c r="B3" s="25">
        <f>SUMIFS(Money_tracker!$H:$H,Money_tracker!$D:$D,$A3,Money_tracker!$C:$C,"Income",Money_tracker!$F:$F,"IDR",Money_tracker!$C:$C,"&lt;&gt;Pindah",Money_tracker!$E:$E,"&lt;&gt;Transfer",Money_tracker!$C:$C,"&lt;&gt;Sisa saldo")+SUMIFS(Money_tracker!$H:$H,Money_tracker!$D:$D,$A3,Money_tracker!$C:$C,"Sisa saldo",Money_tracker!$F:$F,"IDR",Money_tracker!$E:$E,"Sisa saldo")-SUMIFS(Money_tracker!$H:$H,Money_tracker!$D:$D,$A3,Money_tracker!$C:$C,"Outcome",Money_tracker!$F:$F,"IDR",Money_tracker!$C:$C,"&lt;&gt;Pindah",Money_tracker!$E:$E,"&lt;&gt;Transfer")</f>
        <v>192698</v>
      </c>
      <c r="C3" s="24"/>
      <c r="E3" s="78" t="s">
        <v>62</v>
      </c>
      <c r="F3" s="79"/>
      <c r="G3" s="51">
        <f>B7+(G1*B13)+B19</f>
        <v>25299767</v>
      </c>
    </row>
    <row r="4" spans="1:7" ht="15.75" x14ac:dyDescent="0.25">
      <c r="A4" s="23" t="s">
        <v>14</v>
      </c>
      <c r="B4" s="25">
        <f>SUMIFS(Money_tracker!$H:$H,Money_tracker!$D:$D,$A4,Money_tracker!$C:$C,"Income",Money_tracker!$F:$F,"IDR",Money_tracker!$C:$C,"&lt;&gt;Pindah",Money_tracker!$E:$E,"&lt;&gt;Transfer",Money_tracker!$C:$C,"&lt;&gt;Sisa saldo")+SUMIFS(Money_tracker!$H:$H,Money_tracker!$D:$D,$A4,Money_tracker!$C:$C,"Sisa saldo",Money_tracker!$F:$F,"IDR",Money_tracker!$E:$E,"Sisa saldo")-SUMIFS(Money_tracker!$H:$H,Money_tracker!$D:$D,$A4,Money_tracker!$C:$C,"Outcome",Money_tracker!$F:$F,"IDR",Money_tracker!$C:$C,"&lt;&gt;Pindah",Money_tracker!$E:$E,"&lt;&gt;Transfer")</f>
        <v>0</v>
      </c>
      <c r="C4" s="24"/>
    </row>
    <row r="5" spans="1:7" ht="15.75" x14ac:dyDescent="0.25">
      <c r="A5" s="23" t="s">
        <v>13</v>
      </c>
      <c r="B5" s="25">
        <f>SUMIFS(Money_tracker!$H:$H,Money_tracker!$D:$D,$A5,Money_tracker!$C:$C,"Income",Money_tracker!$F:$F,"IDR",Money_tracker!$C:$C,"&lt;&gt;Pindah",Money_tracker!$E:$E,"&lt;&gt;Transfer",Money_tracker!$C:$C,"&lt;&gt;Sisa saldo")+SUMIFS(Money_tracker!$H:$H,Money_tracker!$D:$D,$A5,Money_tracker!$C:$C,"Sisa saldo",Money_tracker!$F:$F,"IDR",Money_tracker!$E:$E,"Sisa saldo")-SUMIFS(Money_tracker!$H:$H,Money_tracker!$D:$D,$A5,Money_tracker!$C:$C,"Outcome",Money_tracker!$F:$F,"IDR",Money_tracker!$C:$C,"&lt;&gt;Pindah",Money_tracker!$E:$E,"&lt;&gt;Transfer")</f>
        <v>21550</v>
      </c>
      <c r="C5" s="24"/>
    </row>
    <row r="6" spans="1:7" ht="15.75" x14ac:dyDescent="0.25">
      <c r="A6" s="23" t="s">
        <v>11</v>
      </c>
      <c r="B6" s="25">
        <f>SUMIFS(Money_tracker!$H:$H,Money_tracker!$D:$D,$A6,Money_tracker!$C:$C,"Income",Money_tracker!$F:$F,"IDR",Money_tracker!$C:$C,"&lt;&gt;Pindah",Money_tracker!$E:$E,"&lt;&gt;Transfer",Money_tracker!$C:$C,"&lt;&gt;Sisa saldo")+SUMIFS(Money_tracker!$H:$H,Money_tracker!$D:$D,$A6,Money_tracker!$C:$C,"Sisa saldo",Money_tracker!$F:$F,"IDR",Money_tracker!$E:$E,"Sisa saldo")-SUMIFS(Money_tracker!$H:$H,Money_tracker!$D:$D,$A6,Money_tracker!$C:$C,"Outcome",Money_tracker!$F:$F,"IDR",Money_tracker!$C:$C,"&lt;&gt;Pindah",Money_tracker!$E:$E,"&lt;&gt;Transfer")</f>
        <v>3284019</v>
      </c>
      <c r="C6" s="24"/>
    </row>
    <row r="7" spans="1:7" s="30" customFormat="1" ht="24" customHeight="1" thickBot="1" x14ac:dyDescent="0.35">
      <c r="A7" s="31" t="s">
        <v>44</v>
      </c>
      <c r="B7" s="34">
        <f>SUM(B3:B6)</f>
        <v>3498267</v>
      </c>
      <c r="C7" s="35"/>
      <c r="E7" s="30">
        <f>COUNTIFS(Money_tracker!$D:$D,$A6,Money_tracker!$F:$F,"IDR")</f>
        <v>10</v>
      </c>
    </row>
    <row r="8" spans="1:7" ht="15.75" thickBot="1" x14ac:dyDescent="0.3"/>
    <row r="9" spans="1:7" ht="15.75" thickBot="1" x14ac:dyDescent="0.3">
      <c r="A9" s="68" t="s">
        <v>57</v>
      </c>
      <c r="B9" s="69"/>
      <c r="C9" s="70"/>
    </row>
    <row r="10" spans="1:7" x14ac:dyDescent="0.25">
      <c r="A10" s="38" t="s">
        <v>0</v>
      </c>
      <c r="B10" s="39" t="s">
        <v>24</v>
      </c>
      <c r="C10" s="40" t="s">
        <v>1</v>
      </c>
    </row>
    <row r="11" spans="1:7" ht="15.75" x14ac:dyDescent="0.25">
      <c r="A11" s="23" t="s">
        <v>2</v>
      </c>
      <c r="B11" s="26">
        <f>SUMIFS(Money_tracker!$H:$H,Money_tracker!$D:$D,$A11,Money_tracker!$C:$C,"Income",Money_tracker!$F:$F,"USD",Money_tracker!$C:$C,"&lt;&gt;Pindah",Money_tracker!$E:$E,"&lt;&gt;Transfer",Money_tracker!$C:$C,"&lt;&gt;Sisa saldo")+SUMIFS(Money_tracker!$H:$H,Money_tracker!$D:$D,$A11,Money_tracker!$C:$C,"Sisa saldo",Money_tracker!$F:$F,"USD",Money_tracker!$E:$E,"Sisa saldo")-SUMIFS(Money_tracker!$H:$H,Money_tracker!$D:$D,$A11,Money_tracker!$C:$C,"Outcome",Money_tracker!$F:$F,"USD",Money_tracker!$C:$C,"&lt;&gt;Pindah",Money_tracker!$E:$E,"&lt;&gt;Transfer")</f>
        <v>705</v>
      </c>
      <c r="C11" s="24"/>
    </row>
    <row r="12" spans="1:7" ht="15.75" x14ac:dyDescent="0.25">
      <c r="A12" s="23" t="s">
        <v>15</v>
      </c>
      <c r="B12" s="26">
        <f>SUMIFS(Money_tracker!$H:$H,Money_tracker!$D:$D,$A12,Money_tracker!$C:$C,"Income",Money_tracker!$F:$F,"USD",Money_tracker!$C:$C,"&lt;&gt;Pindah",Money_tracker!$E:$E,"&lt;&gt;Transfer",Money_tracker!$C:$C,"&lt;&gt;Sisa saldo")+SUMIFS(Money_tracker!$H:$H,Money_tracker!$D:$D,$A12,Money_tracker!$C:$C,"Sisa saldo",Money_tracker!$F:$F,"USD",Money_tracker!$E:$E,"Sisa saldo")-SUMIFS(Money_tracker!$H:$H,Money_tracker!$D:$D,$A12,Money_tracker!$C:$C,"Outcome",Money_tracker!$F:$F,"USD",Money_tracker!$C:$C,"&lt;&gt;Pindah",Money_tracker!$E:$E,"&lt;&gt;Transfer")</f>
        <v>5</v>
      </c>
      <c r="C12" s="24"/>
    </row>
    <row r="13" spans="1:7" ht="19.5" thickBot="1" x14ac:dyDescent="0.35">
      <c r="A13" s="31" t="s">
        <v>44</v>
      </c>
      <c r="B13" s="32">
        <f>SUM(B11:B12)</f>
        <v>710</v>
      </c>
      <c r="C13" s="33"/>
    </row>
    <row r="14" spans="1:7" ht="15.75" thickBot="1" x14ac:dyDescent="0.3"/>
    <row r="15" spans="1:7" ht="15.75" thickBot="1" x14ac:dyDescent="0.3">
      <c r="A15" s="65" t="s">
        <v>56</v>
      </c>
      <c r="B15" s="66"/>
      <c r="C15" s="66"/>
      <c r="D15" s="67"/>
    </row>
    <row r="16" spans="1:7" x14ac:dyDescent="0.25">
      <c r="A16" s="36" t="s">
        <v>0</v>
      </c>
      <c r="B16" s="43" t="s">
        <v>54</v>
      </c>
      <c r="C16" s="43" t="s">
        <v>53</v>
      </c>
      <c r="D16" s="37" t="s">
        <v>1</v>
      </c>
    </row>
    <row r="17" spans="1:4" ht="15.75" x14ac:dyDescent="0.25">
      <c r="A17" s="23" t="s">
        <v>52</v>
      </c>
      <c r="B17" s="45">
        <v>3</v>
      </c>
      <c r="C17" s="42">
        <f>G2*B17</f>
        <v>7980000</v>
      </c>
      <c r="D17" s="27"/>
    </row>
    <row r="18" spans="1:4" ht="15.75" x14ac:dyDescent="0.25">
      <c r="A18" s="23" t="s">
        <v>3</v>
      </c>
      <c r="B18" s="41"/>
      <c r="C18" s="42">
        <v>2000000</v>
      </c>
      <c r="D18" s="24"/>
    </row>
    <row r="19" spans="1:4" ht="19.5" thickBot="1" x14ac:dyDescent="0.35">
      <c r="A19" s="31" t="s">
        <v>44</v>
      </c>
      <c r="B19" s="74">
        <f>SUM(C17:C18)</f>
        <v>9980000</v>
      </c>
      <c r="C19" s="75"/>
      <c r="D19" s="44"/>
    </row>
    <row r="20" spans="1:4" x14ac:dyDescent="0.25">
      <c r="C20"/>
    </row>
  </sheetData>
  <mergeCells count="6">
    <mergeCell ref="A15:D15"/>
    <mergeCell ref="A9:C9"/>
    <mergeCell ref="A1:C1"/>
    <mergeCell ref="B19:C19"/>
    <mergeCell ref="E1:E2"/>
    <mergeCell ref="E3:F3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340D-C532-462F-A41F-B69C4EC515E8}">
  <dimension ref="A1:I12"/>
  <sheetViews>
    <sheetView workbookViewId="0">
      <selection activeCell="B22" sqref="B22"/>
    </sheetView>
  </sheetViews>
  <sheetFormatPr defaultRowHeight="15.75" x14ac:dyDescent="0.25"/>
  <cols>
    <col min="1" max="1" width="11.42578125" style="11" bestFit="1" customWidth="1"/>
    <col min="2" max="2" width="9.140625" style="11"/>
    <col min="3" max="3" width="17" style="11" bestFit="1" customWidth="1"/>
    <col min="4" max="4" width="9.140625" style="11"/>
    <col min="5" max="5" width="11.85546875" style="11" bestFit="1" customWidth="1"/>
    <col min="6" max="6" width="9.140625" style="11"/>
    <col min="7" max="7" width="18.85546875" style="11" bestFit="1" customWidth="1"/>
    <col min="8" max="8" width="9.140625" style="11"/>
    <col min="9" max="9" width="12.28515625" style="11" bestFit="1" customWidth="1"/>
    <col min="10" max="16384" width="9.140625" style="11"/>
  </cols>
  <sheetData>
    <row r="1" spans="1:9" x14ac:dyDescent="0.25">
      <c r="A1" s="13" t="s">
        <v>8</v>
      </c>
      <c r="B1" s="10"/>
      <c r="C1" s="13" t="s">
        <v>18</v>
      </c>
      <c r="D1" s="10"/>
      <c r="E1" s="13" t="s">
        <v>22</v>
      </c>
      <c r="F1" s="10"/>
      <c r="G1" s="13" t="s">
        <v>37</v>
      </c>
      <c r="I1" s="13" t="s">
        <v>38</v>
      </c>
    </row>
    <row r="2" spans="1:9" x14ac:dyDescent="0.25">
      <c r="A2" s="12" t="s">
        <v>9</v>
      </c>
      <c r="C2" s="55" t="s">
        <v>66</v>
      </c>
      <c r="E2" s="8" t="s">
        <v>23</v>
      </c>
      <c r="G2" s="12" t="s">
        <v>27</v>
      </c>
      <c r="I2" s="12" t="s">
        <v>35</v>
      </c>
    </row>
    <row r="3" spans="1:9" x14ac:dyDescent="0.25">
      <c r="A3" s="12" t="s">
        <v>10</v>
      </c>
      <c r="C3" s="54" t="s">
        <v>42</v>
      </c>
      <c r="E3" s="9" t="s">
        <v>24</v>
      </c>
      <c r="G3" s="12" t="s">
        <v>28</v>
      </c>
      <c r="I3" s="12" t="s">
        <v>36</v>
      </c>
    </row>
    <row r="4" spans="1:9" x14ac:dyDescent="0.25">
      <c r="A4" s="12" t="s">
        <v>11</v>
      </c>
      <c r="C4" s="12" t="s">
        <v>19</v>
      </c>
      <c r="G4" s="12" t="s">
        <v>31</v>
      </c>
      <c r="I4" s="12" t="s">
        <v>41</v>
      </c>
    </row>
    <row r="5" spans="1:9" x14ac:dyDescent="0.25">
      <c r="A5" s="12" t="s">
        <v>12</v>
      </c>
      <c r="C5" s="12" t="s">
        <v>20</v>
      </c>
      <c r="G5" s="12" t="s">
        <v>29</v>
      </c>
      <c r="I5" s="12" t="s">
        <v>43</v>
      </c>
    </row>
    <row r="6" spans="1:9" x14ac:dyDescent="0.25">
      <c r="A6" s="12" t="s">
        <v>13</v>
      </c>
      <c r="G6" s="12" t="s">
        <v>30</v>
      </c>
      <c r="I6" s="12"/>
    </row>
    <row r="7" spans="1:9" x14ac:dyDescent="0.25">
      <c r="A7" s="12" t="s">
        <v>2</v>
      </c>
      <c r="G7" s="12" t="s">
        <v>42</v>
      </c>
      <c r="I7" s="12"/>
    </row>
    <row r="8" spans="1:9" hidden="1" x14ac:dyDescent="0.25">
      <c r="A8" s="12" t="s">
        <v>15</v>
      </c>
      <c r="G8" s="12" t="s">
        <v>32</v>
      </c>
      <c r="I8" s="12"/>
    </row>
    <row r="9" spans="1:9" hidden="1" x14ac:dyDescent="0.25">
      <c r="A9" s="12" t="s">
        <v>30</v>
      </c>
      <c r="G9" s="12" t="s">
        <v>43</v>
      </c>
      <c r="I9" s="12"/>
    </row>
    <row r="10" spans="1:9" x14ac:dyDescent="0.25">
      <c r="A10" s="12" t="s">
        <v>15</v>
      </c>
      <c r="G10" s="12" t="s">
        <v>47</v>
      </c>
      <c r="I10" s="12"/>
    </row>
    <row r="11" spans="1:9" x14ac:dyDescent="0.25">
      <c r="A11" s="12" t="s">
        <v>14</v>
      </c>
      <c r="G11" s="12" t="s">
        <v>64</v>
      </c>
    </row>
    <row r="12" spans="1:9" x14ac:dyDescent="0.25">
      <c r="F12" s="14"/>
      <c r="G12" s="12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5D2719-9283-402F-8C6F-F72E93C085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Money_tracker</vt:lpstr>
      <vt:lpstr>Rasio</vt:lpstr>
      <vt:lpstr>List</vt:lpstr>
      <vt:lpstr>Income_List</vt:lpstr>
      <vt:lpstr>Outcome_List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Yoggie Adzanna</dc:creator>
  <cp:lastModifiedBy>Yoggie Adzanna</cp:lastModifiedBy>
  <dcterms:created xsi:type="dcterms:W3CDTF">2026-01-07T03:06:40Z</dcterms:created>
  <dcterms:modified xsi:type="dcterms:W3CDTF">2026-02-04T15:57:51Z</dcterms:modified>
</cp:coreProperties>
</file>